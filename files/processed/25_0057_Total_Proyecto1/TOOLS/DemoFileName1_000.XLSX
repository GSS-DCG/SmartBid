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InSync\SmartBid\files\processed\25_0057_Total_Proyecto1\TOOLS\"/>
    </mc:Choice>
  </mc:AlternateContent>
  <xr:revisionPtr revIDLastSave="0" documentId="13_ncr:1_{4E148D28-C312-4108-9812-0F9448632F1D}" xr6:coauthVersionLast="47" xr6:coauthVersionMax="47" xr10:uidLastSave="{00000000-0000-0000-0000-000000000000}"/>
  <bookViews>
    <workbookView xWindow="-120" yWindow="-120" windowWidth="29040" windowHeight="15840" xr2:uid="{3A0735F1-202E-4793-AE61-27CCCE14E579}"/>
  </bookViews>
  <sheets>
    <sheet name="Sheet1" sheetId="1" r:id="rId1"/>
  </sheets>
  <definedNames>
    <definedName name="GSS_DATA">Sheet1!$C$2:$D$4</definedName>
    <definedName name="sbIN_B">Sheet1!$C$11</definedName>
    <definedName name="sbIN_C">Sheet1!$C$12</definedName>
    <definedName name="sbIN_Call2_G">Sheet1!$C$13</definedName>
    <definedName name="sbIn_Call2_I">Sheet1!$C$14</definedName>
    <definedName name="sbIN_tabla1">Sheet1!$I$6:$K$9</definedName>
    <definedName name="sbOUT_Call2_H">Sheet1!$F$13</definedName>
    <definedName name="sbOUT_D">Sheet1!$F$11</definedName>
    <definedName name="sbOUT_E">Sheet1!$F$12</definedName>
    <definedName name="sbOUT_tabla2">Sheet1!$I$13:$K$16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6" i="1" l="1"/>
  <c r="J16" i="1"/>
  <c r="I16" i="1"/>
  <c r="K15" i="1"/>
  <c r="J15" i="1"/>
  <c r="I15" i="1"/>
  <c r="K14" i="1"/>
  <c r="J14" i="1"/>
  <c r="I14" i="1"/>
  <c r="K13" i="1"/>
  <c r="J13" i="1"/>
  <c r="I13" i="1"/>
  <c r="F13" i="1"/>
  <c r="F12" i="1"/>
  <c r="F11" i="1"/>
</calcChain>
</file>

<file path=xl/sharedStrings.xml><?xml version="1.0" encoding="utf-8"?>
<sst xmlns="http://schemas.openxmlformats.org/spreadsheetml/2006/main" count="21" uniqueCount="21">
  <si>
    <t>Input</t>
  </si>
  <si>
    <t>Output</t>
  </si>
  <si>
    <t>GSS_GSSCode</t>
  </si>
  <si>
    <t>000</t>
  </si>
  <si>
    <t>00</t>
  </si>
  <si>
    <t>GSS_Version</t>
  </si>
  <si>
    <t>GSS_Build</t>
  </si>
  <si>
    <t>DEMO1</t>
  </si>
  <si>
    <t>B</t>
  </si>
  <si>
    <t>C</t>
  </si>
  <si>
    <t>G</t>
  </si>
  <si>
    <t>D</t>
  </si>
  <si>
    <t>E</t>
  </si>
  <si>
    <t>H</t>
  </si>
  <si>
    <t>I</t>
  </si>
  <si>
    <t>Tabla de Entrada</t>
  </si>
  <si>
    <t>Tabla de salida</t>
  </si>
  <si>
    <t>BB- value: 127</t>
  </si>
  <si>
    <t>CC- value: 593</t>
  </si>
  <si>
    <t xml:space="preserve"> salida G: Salida E: CC- value: 593  || Demo 2 ||</t>
  </si>
  <si>
    <t>II- value: 401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</si>
</sst>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537F"/>
      <name val="Neo Tech Std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justify" vertical="center" wrapText="1"/>
    </xf>
    <xf numFmtId="0" fontId="1" fillId="0" borderId="3" xfId="0" applyFont="1" applyBorder="1" applyAlignment="1">
      <alignment horizontal="justify" vertical="center" wrapText="1"/>
    </xf>
    <xf numFmtId="49" fontId="1" fillId="0" borderId="2" xfId="0" applyNumberFormat="1" applyFont="1" applyBorder="1" applyAlignment="1">
      <alignment horizontal="justify" vertical="center" wrapText="1"/>
    </xf>
    <xf numFmtId="49" fontId="1" fillId="0" borderId="4" xfId="0" applyNumberFormat="1" applyFont="1" applyBorder="1" applyAlignment="1">
      <alignment horizontal="justify" vertical="center" wrapText="1"/>
    </xf>
    <xf numFmtId="0" fontId="0" fillId="0" borderId="5" xfId="0" applyBorder="1"/>
    <xf numFmtId="0" fontId="0" fillId="2" borderId="6" xfId="0" applyFill="1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7ED49-1163-4A04-8CC8-8A289493E5F5}">
  <dimension ref="B1:K16"/>
  <sheetViews>
    <sheetView tabSelected="1" workbookViewId="0">
      <selection activeCell="I6" sqref="I6:K9"/>
    </sheetView>
  </sheetViews>
  <sheetFormatPr defaultRowHeight="15" x14ac:dyDescent="0.25"/>
  <cols>
    <col min="3" max="3" width="20.7109375" customWidth="1"/>
    <col min="4" max="4" width="22.7109375" customWidth="1"/>
    <col min="6" max="6" width="25.140625" customWidth="1"/>
  </cols>
  <sheetData>
    <row r="1" spans="2:11" ht="15.75" thickBot="1" x14ac:dyDescent="0.3"/>
    <row r="2" spans="2:11" ht="15.75" thickBot="1" x14ac:dyDescent="0.3">
      <c r="C2" s="1" t="s">
        <v>2</v>
      </c>
      <c r="D2" s="3" t="s">
        <v>7</v>
      </c>
    </row>
    <row r="3" spans="2:11" ht="15.75" thickBot="1" x14ac:dyDescent="0.3">
      <c r="C3" s="2" t="s">
        <v>5</v>
      </c>
      <c r="D3" s="4" t="s">
        <v>3</v>
      </c>
    </row>
    <row r="4" spans="2:11" ht="15.75" thickBot="1" x14ac:dyDescent="0.3">
      <c r="C4" s="2" t="s">
        <v>6</v>
      </c>
      <c r="D4" s="4" t="s">
        <v>4</v>
      </c>
    </row>
    <row r="5" spans="2:11" x14ac:dyDescent="0.25">
      <c r="I5" t="s">
        <v>15</v>
      </c>
    </row>
    <row r="6" spans="2:11" x14ac:dyDescent="0.25">
      <c r="I6" s="9">
        <v>11000</v>
      </c>
      <c r="J6" s="9">
        <v>12000</v>
      </c>
      <c r="K6" s="9">
        <v>13000</v>
      </c>
    </row>
    <row r="7" spans="2:11" x14ac:dyDescent="0.25">
      <c r="I7" s="9">
        <v>21000</v>
      </c>
      <c r="J7" s="9">
        <v>22000</v>
      </c>
      <c r="K7" s="9">
        <v>23000</v>
      </c>
    </row>
    <row r="8" spans="2:11" x14ac:dyDescent="0.25">
      <c r="I8" s="9">
        <v>31000</v>
      </c>
      <c r="J8" s="9">
        <v>32000</v>
      </c>
      <c r="K8" s="9">
        <v>33000</v>
      </c>
    </row>
    <row r="9" spans="2:11" x14ac:dyDescent="0.25">
      <c r="C9" t="s">
        <v>0</v>
      </c>
      <c r="F9" t="s">
        <v>1</v>
      </c>
      <c r="I9" s="9">
        <v>41000</v>
      </c>
      <c r="J9" s="9">
        <v>42000</v>
      </c>
      <c r="K9" s="9">
        <v>43000</v>
      </c>
    </row>
    <row r="10" spans="2:11" ht="15.75" thickBot="1" x14ac:dyDescent="0.3"/>
    <row r="11" spans="2:11" ht="15.75" thickBot="1" x14ac:dyDescent="0.3">
      <c r="B11" s="5" t="s">
        <v>8</v>
      </c>
      <c r="C11" s="5" t="s">
        <v>17</v>
      </c>
      <c r="E11" s="5" t="s">
        <v>11</v>
      </c>
      <c r="F11" s="6" t="str">
        <f xml:space="preserve"> "Salida D:" &amp; sbIN_B  &amp; "  ||"</f>
        <v>Salida D:BB- value: 127  ||</v>
      </c>
    </row>
    <row r="12" spans="2:11" ht="15.75" thickBot="1" x14ac:dyDescent="0.3">
      <c r="B12" s="7" t="s">
        <v>9</v>
      </c>
      <c r="C12" s="7" t="s">
        <v>18</v>
      </c>
      <c r="E12" s="7" t="s">
        <v>12</v>
      </c>
      <c r="F12" s="6" t="str">
        <f xml:space="preserve"> "Salida E: " &amp; sbIN_C  &amp; "  ||"</f>
        <v>Salida E: CC- value: 593  ||</v>
      </c>
      <c r="I12" t="s">
        <v>16</v>
      </c>
    </row>
    <row r="13" spans="2:11" ht="15.75" thickBot="1" x14ac:dyDescent="0.3">
      <c r="B13" s="7" t="s">
        <v>10</v>
      </c>
      <c r="C13" s="7" t="s">
        <v>19</v>
      </c>
      <c r="E13" s="8" t="s">
        <v>13</v>
      </c>
      <c r="F13" s="6" t="str">
        <f xml:space="preserve"> "Salida H: " &amp; sbIN_Call2_G  &amp; "  ||"</f>
        <v>Salida H:  salida G: Salida E: CC- value: 593  || Demo 2 ||  ||</v>
      </c>
      <c r="I13" s="9">
        <f>I6+11</f>
        <v>11011</v>
      </c>
      <c r="J13" s="9">
        <f>J6+12</f>
        <v>12012</v>
      </c>
      <c r="K13" s="9">
        <f>K6+13</f>
        <v>13013</v>
      </c>
    </row>
    <row r="14" spans="2:11" ht="15.75" thickBot="1" x14ac:dyDescent="0.3">
      <c r="B14" s="8" t="s">
        <v>14</v>
      </c>
      <c r="C14" s="8" t="s">
        <v>20</v>
      </c>
      <c r="I14" s="9">
        <f>I7+21</f>
        <v>21021</v>
      </c>
      <c r="J14" s="9">
        <f>J7+22</f>
        <v>22022</v>
      </c>
      <c r="K14" s="9">
        <f>K7+23</f>
        <v>23023</v>
      </c>
    </row>
    <row r="15" spans="2:11" x14ac:dyDescent="0.25">
      <c r="I15" s="9">
        <f>I8+31</f>
        <v>31031</v>
      </c>
      <c r="J15" s="9">
        <f>J8+32</f>
        <v>32032</v>
      </c>
      <c r="K15" s="9">
        <f>K8+33</f>
        <v>33033</v>
      </c>
    </row>
    <row r="16" spans="2:11" x14ac:dyDescent="0.25">
      <c r="I16" s="9">
        <f>I9+41</f>
        <v>41041</v>
      </c>
      <c r="J16" s="9">
        <f>J9+42</f>
        <v>42042</v>
      </c>
      <c r="K16" s="9">
        <f>K9+43</f>
        <v>43043</v>
      </c>
    </row>
  </sheetData>
  <pageMargins left="0.7" right="0.7" top="0.75" bottom="0.75" header="0.3" footer="0.3"/>
  <headerFooter>
    <oddFooter>&amp;C_x000D_&amp;1#&amp;"Calibri"&amp;10&amp;K008000 Information is marked as General and belongs to Gonvarri Industries.</oddFooter>
  </headerFooter>
</worksheet>
</file>

<file path=docMetadata/LabelInfo.xml><?xml version="1.0" encoding="utf-8"?>
<clbl:labelList xmlns:clbl="http://schemas.microsoft.com/office/2020/mipLabelMetadata">
  <clbl:label id="{c6d33051-b04d-4aef-a68e-d8d0e60837d6}" enabled="1" method="Privileged" siteId="{7746325c-0dd0-4e2c-89a7-dd24026d484a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10</vt:i4>
      </vt:variant>
    </vt:vector>
  </HeadingPairs>
  <TitlesOfParts>
    <vt:vector size="11" baseType="lpstr">
      <vt:lpstr>Sheet1</vt:lpstr>
      <vt:lpstr>GSS_DATA</vt:lpstr>
      <vt:lpstr>sbIN_B</vt:lpstr>
      <vt:lpstr>sbIN_C</vt:lpstr>
      <vt:lpstr>sbIN_Call2_G</vt:lpstr>
      <vt:lpstr>sbIn_Call2_I</vt:lpstr>
      <vt:lpstr>sbIN_tabla1</vt:lpstr>
      <vt:lpstr>sbOUT_Call2_H</vt:lpstr>
      <vt:lpstr>sbOUT_D</vt:lpstr>
      <vt:lpstr>sbOUT_E</vt:lpstr>
      <vt:lpstr>sbOUT_tabla2</vt:lpstr>
    </vt:vector>
  </TitlesOfParts>
  <Company>Gonvarri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Martín Molina González</dc:creator>
  <cp:lastModifiedBy>Martín Molina González</cp:lastModifiedBy>
  <dcterms:created xsi:type="dcterms:W3CDTF">2025-05-16T14:01:24Z</dcterms:created>
  <dcterms:modified xsi:type="dcterms:W3CDTF">2025-06-12T10:24:47Z</dcterms:modified>
</cp:coreProperties>
</file>